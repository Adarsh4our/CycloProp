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Arial"/>
      <color rgb="FF000000"/>
      <sz val="10"/>
      <scheme val="minor"/>
    </font>
    <font>
      <name val="Arial"/>
      <color theme="1"/>
      <scheme val="minor"/>
    </font>
    <font>
      <name val="Arial"/>
      <b val="1"/>
      <color rgb="FFFFFFFF"/>
      <scheme val="minor"/>
    </font>
    <font>
      <name val="Arial"/>
      <b val="1"/>
      <color theme="1"/>
      <sz val="24"/>
      <scheme val="minor"/>
    </font>
    <font>
      <name val="Calibri"/>
      <sz val="11"/>
    </font>
    <font>
      <name val="Calibri"/>
      <b val="1"/>
      <sz val="11"/>
    </font>
  </fonts>
  <fills count="7">
    <fill>
      <patternFill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4A86E8"/>
        <bgColor rgb="FF4A86E8"/>
      </patternFill>
    </fill>
    <fill>
      <patternFill patternType="solid">
        <fgColor rgb="FFEAD1DC"/>
        <bgColor rgb="FFEAD1DC"/>
      </patternFill>
    </fill>
    <fill>
      <patternFill patternType="solid">
        <fgColor rgb="FFC9DAF8"/>
        <bgColor rgb="FFC9DAF8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22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top"/>
    </xf>
    <xf numFmtId="0" fontId="1" fillId="2" borderId="1" pivotButton="0" quotePrefix="0" xfId="0"/>
    <xf numFmtId="0" fontId="1" fillId="3" borderId="1" pivotButton="0" quotePrefix="0" xfId="0"/>
    <xf numFmtId="0" fontId="1" fillId="3" borderId="1" pivotButton="0" quotePrefix="0" xfId="0"/>
    <xf numFmtId="0" fontId="2" fillId="4" borderId="0" pivotButton="0" quotePrefix="0" xfId="0"/>
    <xf numFmtId="0" fontId="1" fillId="5" borderId="1" applyAlignment="1" pivotButton="0" quotePrefix="0" xfId="0">
      <alignment horizontal="center"/>
    </xf>
    <xf numFmtId="0" fontId="1" fillId="0" borderId="1" pivotButton="0" quotePrefix="0" xfId="0"/>
    <xf numFmtId="0" fontId="1" fillId="0" borderId="1" pivotButton="0" quotePrefix="0" xfId="0"/>
    <xf numFmtId="0" fontId="1" fillId="0" borderId="1" applyAlignment="1" pivotButton="0" quotePrefix="0" xfId="0">
      <alignment vertical="top"/>
    </xf>
    <xf numFmtId="0" fontId="2" fillId="4" borderId="0" applyAlignment="1" pivotButton="0" quotePrefix="0" xfId="0">
      <alignment vertical="center" wrapText="1"/>
    </xf>
    <xf numFmtId="0" fontId="1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1" fillId="6" borderId="0" pivotButton="0" quotePrefix="0" xfId="0"/>
    <xf numFmtId="0" fontId="0" fillId="0" borderId="0" pivotButton="0" quotePrefix="0" xfId="0"/>
    <xf numFmtId="0" fontId="4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 wrapText="1"/>
    </xf>
    <xf numFmtId="164" fontId="4" fillId="0" borderId="2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right" vertical="center"/>
    </xf>
    <xf numFmtId="0" fontId="5" fillId="6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43"/>
  <sheetViews>
    <sheetView workbookViewId="0">
      <selection activeCell="A1" sqref="A1"/>
    </sheetView>
  </sheetViews>
  <sheetFormatPr baseColWidth="8" defaultColWidth="12.63" defaultRowHeight="15.75" customHeight="1"/>
  <cols>
    <col width="8" customWidth="1" style="15" min="1" max="1"/>
    <col width="28" customWidth="1" style="15" min="2" max="2"/>
    <col width="48" customWidth="1" style="15" min="3" max="3"/>
    <col width="24" customWidth="1" style="15" min="4" max="4"/>
    <col width="16" customWidth="1" style="15" min="5" max="5"/>
    <col width="52" customWidth="1" style="15" min="6" max="6"/>
  </cols>
  <sheetData>
    <row r="1" ht="32.25" customHeight="1" s="15">
      <c r="A1" s="1" t="inlineStr">
        <is>
          <t>Grand Challenge Title:</t>
        </is>
      </c>
      <c r="B1" s="2" t="inlineStr">
        <is>
          <t>Grand Challenge 2: CycloProp - Advanced UAV Propulsion Challenge</t>
        </is>
      </c>
    </row>
    <row r="2">
      <c r="A2" s="4" t="inlineStr">
        <is>
          <t>Team ID:</t>
        </is>
      </c>
      <c r="B2" s="4" t="inlineStr">
        <is>
          <t>CycloProp (Team Leader: Adarsh Singh)</t>
        </is>
      </c>
    </row>
    <row r="4">
      <c r="A4" s="5" t="inlineStr">
        <is>
          <t>Budget Proposal</t>
        </is>
      </c>
    </row>
    <row r="5">
      <c r="A5" s="6" t="inlineStr">
        <is>
          <t>Sr. No.</t>
        </is>
      </c>
      <c r="B5" s="6" t="inlineStr">
        <is>
          <t>Category (Select only from the drop down menu)</t>
        </is>
      </c>
      <c r="C5" s="6" t="inlineStr">
        <is>
          <t>Particulars</t>
        </is>
      </c>
      <c r="D5" s="6" t="inlineStr">
        <is>
          <t>Vendor</t>
        </is>
      </c>
      <c r="E5" s="6" t="inlineStr">
        <is>
          <t>Amount</t>
        </is>
      </c>
      <c r="F5" s="6" t="inlineStr">
        <is>
          <t>Justification</t>
        </is>
      </c>
    </row>
    <row r="6" ht="50" customHeight="1" s="15">
      <c r="A6" s="16" t="n">
        <v>1</v>
      </c>
      <c r="B6" s="17" t="inlineStr">
        <is>
          <t>Software / Computing / Computer-Aided Engineering (CAE) / Subscription</t>
        </is>
      </c>
      <c r="C6" s="17" t="inlineStr">
        <is>
          <t>SanDisk Extreme 1TB Portable External SSD (USB 3.2 Gen 2 Type-C, Up to 1050MB/s Read, IP65 Water/Dust Resistant) — FAQ-approved for simulation logs &amp; dedicated external Linux OS environment</t>
        </is>
      </c>
      <c r="D6" s="17" t="inlineStr">
        <is>
          <t>Amazon India / SanDisk India</t>
        </is>
      </c>
      <c r="E6" s="18" t="n">
        <v>17999</v>
      </c>
      <c r="F6" s="17" t="inlineStr">
        <is>
          <t>PUSHPAK Stage 2 FAQ explicitly approves external SSDs for simulation storage. High-speed NVMe 1050MB/s rugged external drive required to host a dedicated bootable Linux OS (Ubuntu 24.04 LTS), execute OpenFOAM 2D CFD solvers, and archive massive unsteady VTK simulation flow-field logs (D3, D4). Live verified Amazon India retail rate.</t>
        </is>
      </c>
    </row>
    <row r="7" ht="50" customHeight="1" s="15">
      <c r="A7" s="16" t="n">
        <v>2</v>
      </c>
      <c r="B7" s="17" t="inlineStr">
        <is>
          <t>Software / Computing / Computer-Aided Engineering (CAE) / Subscription</t>
        </is>
      </c>
      <c r="C7" s="17" t="inlineStr">
        <is>
          <t>512GB M.2 NVMe PCIe Gen4 x4 Internal SSD (Pack of 2 pcs: Crucial P3 Plus / WD Blue SN580 500GB @ ₹3,500 each) — high-speed simulation workspace expansion for team workstations</t>
        </is>
      </c>
      <c r="D7" s="17" t="inlineStr">
        <is>
          <t>Amazon India / Crucial India / Western Digital</t>
        </is>
      </c>
      <c r="E7" s="18" t="n">
        <v>7000</v>
      </c>
      <c r="F7" s="17" t="inlineStr">
        <is>
          <t>High-speed Gen4 NVMe internal solid-state drives (2 units @ ₹3,500 each) to upgrade team workstations with dedicated high-IOPS Linux/OpenFOAM computational partitions, preventing disk bottlenecks during parallel grid generation and transient FEA stress runs (D3, D4).</t>
        </is>
      </c>
    </row>
    <row r="8" ht="50" customHeight="1" s="15">
      <c r="A8" s="16" t="n">
        <v>3</v>
      </c>
      <c r="B8" s="17" t="inlineStr">
        <is>
          <t>Software / Computing / Computer-Aided Engineering (CAE) / Subscription</t>
        </is>
      </c>
      <c r="C8" s="17" t="inlineStr">
        <is>
          <t>Cloud HPC On-Demand Compute Credits — parallel 2D OpenFOAM AoA parameter sweeps &amp; Richardson mesh convergence study</t>
        </is>
      </c>
      <c r="D8" s="17" t="inlineStr">
        <is>
          <t>AWS India / DigitalOcean India</t>
        </is>
      </c>
      <c r="E8" s="18" t="n">
        <v>9000</v>
      </c>
      <c r="F8" s="17" t="inlineStr">
        <is>
          <t>Running 200+ parallel 2D CFD cases (17 AoA x pitch amplitudes x 3 grid densities) simultaneously on cloud for overnight convergence vs. 6 days of sequential laptop runs. Required for D3 aerodynamic thrust validation (11.76N target, FM=0.768).</t>
        </is>
      </c>
    </row>
    <row r="9" ht="50" customHeight="1" s="15">
      <c r="A9" s="16" t="n">
        <v>4</v>
      </c>
      <c r="B9" s="17" t="inlineStr">
        <is>
          <t>Software / Computing / Computer-Aided Engineering (CAE) / Subscription</t>
        </is>
      </c>
      <c r="C9" s="17" t="inlineStr">
        <is>
          <t>Google One AI Premium (Gemini Advanced / Ultra) Subscription — 2 Months (₹1,950/mo incl. Indian GST)</t>
        </is>
      </c>
      <c r="D9" s="17" t="inlineStr">
        <is>
          <t>Google India Pvt. Ltd.</t>
        </is>
      </c>
      <c r="E9" s="18" t="n">
        <v>3900</v>
      </c>
      <c r="F9" s="17" t="inlineStr">
        <is>
          <t>AI-assisted computational engineering subscription (Google India Pvt. Ltd., GST-compliant tax invoice) across the 2-month Stage 2 development period. Accelerates OpenFOAM mesh automation scripting, Python BEMT solver optimization, SolidWorks macro automation, and complex mathematical deliverable verification (D1–D6).</t>
        </is>
      </c>
    </row>
    <row r="10" ht="50" customHeight="1" s="15">
      <c r="A10" s="16" t="n">
        <v>5</v>
      </c>
      <c r="B10" s="17" t="inlineStr">
        <is>
          <t>Components / Electronics</t>
        </is>
      </c>
      <c r="C10" s="17" t="inlineStr">
        <is>
          <t>Raw ASTM Material Coupon Stock: UD CFRP prepreg sample (50x200mm x3), G10 FR4 sheet (150x150mm x2), 4130 Chromoly rod section, 7075-T6 Al bar slug, Igus JFM-0306-04 polymer bushing x4</t>
        </is>
      </c>
      <c r="D10" s="17" t="inlineStr">
        <is>
          <t>Carbon Craft India / PCB Unlimited / Igus India</t>
        </is>
      </c>
      <c r="E10" s="18" t="n">
        <v>8000</v>
      </c>
      <c r="F10" s="17" t="inlineStr">
        <is>
          <t>D5 explicitly requires photographic evidence of physical material samples. Raw coupon specimens enable dimensional verification, mass-density confirmation, and macro photography for the material selection dossier. NOT functional assemblies — raw specimen stock only.</t>
        </is>
      </c>
    </row>
    <row r="11" ht="50" customHeight="1" s="15">
      <c r="A11" s="16" t="n">
        <v>6</v>
      </c>
      <c r="B11" s="17" t="inlineStr">
        <is>
          <t>Mechanical / Structural / Fabrication</t>
        </is>
      </c>
      <c r="C11" s="17" t="inlineStr">
        <is>
          <t>FDM Desktop 3D Printed Kinematic Clearance Verification Set — eccentric carriage ring, 4-bar linkage, pitch horn, pushrod assembly (non-structural, non-flight PETG/PLA; visual interference check only)</t>
        </is>
      </c>
      <c r="D11" s="17" t="inlineStr">
        <is>
          <t>IIT Ropar Mechatronics Lab / Local 3D Bureau</t>
        </is>
      </c>
      <c r="E11" s="18" t="n">
        <v>4500</v>
      </c>
      <c r="F11" s="17" t="inlineStr">
        <is>
          <t>D1/D2 kinematic design verification consumable. Physical eccentric linkage model allows manual verification of gimbal-lock absence, pushrod toggle clearance, and eccentric carriage travel (e&lt;=6.88mm), correlating SolidWorks Motion simulation with physical reality before design freeze.</t>
        </is>
      </c>
    </row>
    <row r="12" ht="50" customHeight="1" s="15">
      <c r="A12" s="16" t="n">
        <v>7</v>
      </c>
      <c r="B12" s="17" t="inlineStr">
        <is>
          <t>Other Direct Technical Expenses</t>
        </is>
      </c>
      <c r="C12" s="17" t="inlineStr">
        <is>
          <t>Professional A3 Large-Format Engineering Drawings, Technical Report Dossier Printing &amp; Archival Binding x3 sets (GA drawings, FEA contour plots, kinematic trace diagrams, 2D manufacturing drawings)</t>
        </is>
      </c>
      <c r="D12" s="17" t="inlineStr">
        <is>
          <t>Print Solutions / Campus Print Centre</t>
        </is>
      </c>
      <c r="E12" s="18" t="n">
        <v>5500</v>
      </c>
      <c r="F12" s="17" t="inlineStr">
        <is>
          <t>Three formal A3 dossier sets for faculty mentor (Dr. Shashi Shekhar Jha), IIT Ropar CoDRAS archive, and master review copy. Supports all D1-D6 deliverable documentation and evaluation readiness.</t>
        </is>
      </c>
    </row>
    <row r="13" ht="50" customHeight="1" s="15">
      <c r="A13" s="16" t="n">
        <v>8</v>
      </c>
      <c r="B13" s="17" t="inlineStr">
        <is>
          <t>Other Direct Technical Expenses</t>
        </is>
      </c>
      <c r="C13" s="17" t="inlineStr">
        <is>
          <t>High-Speed Archival Flash Drives x3 (SanDisk Ultra USB 3.0 64GB @ ₹1,000 each) + Dedicated Broadband Data Top-Up for multi-GB CAD and CFD file transfers</t>
        </is>
      </c>
      <c r="D13" s="17" t="inlineStr">
        <is>
          <t>SanDisk India / Amazon India</t>
        </is>
      </c>
      <c r="E13" s="18" t="n">
        <v>3200</v>
      </c>
      <c r="F13" s="17" t="inlineStr">
        <is>
          <t>Physical offline submission media archive for faculty mentor and broadband for multi-GB OpenFOAM and SolidWorks dataset synchronisation across the Stage 2 simulation campaign.</t>
        </is>
      </c>
    </row>
    <row r="14" ht="50" customHeight="1" s="15">
      <c r="A14" s="16" t="n">
        <v>9</v>
      </c>
      <c r="B14" s="17" t="inlineStr">
        <is>
          <t>Other Direct Technical Expenses</t>
        </is>
      </c>
      <c r="C14" s="17" t="inlineStr">
        <is>
          <t>Miscellaneous Design Verification Consumables (Themisto TH-M61 150mm digital vernier caliper, engineering graph paper, adhesive labels for material specimen cataloguing)</t>
        </is>
      </c>
      <c r="D14" s="17" t="inlineStr">
        <is>
          <t>Amazon India / Local Stationery</t>
        </is>
      </c>
      <c r="E14" s="18" t="n">
        <v>1000</v>
      </c>
      <c r="F14" s="17" t="inlineStr">
        <is>
          <t>Lab consumables for material coupon cataloguing, precision digital dimensional spot-checks (coupon thickness, bushing OD verification), and physical design verification activities directly tied to D5 deliverable photography.</t>
        </is>
      </c>
    </row>
    <row r="15" ht="25" customHeight="1" s="15">
      <c r="A15" s="19" t="inlineStr">
        <is>
          <t>Total Stage 2 Requirement</t>
        </is>
      </c>
      <c r="B15" s="8" t="n"/>
      <c r="C15" s="8" t="n"/>
      <c r="D15" s="8" t="n"/>
      <c r="E15" s="20">
        <f>SUM(E6:E14)</f>
        <v/>
      </c>
      <c r="F15" s="9" t="n"/>
    </row>
    <row r="16"/>
    <row r="17"/>
    <row r="18">
      <c r="A18" s="10" t="inlineStr">
        <is>
          <t>Do's and Don't</t>
        </is>
      </c>
    </row>
    <row r="19">
      <c r="A19" s="13" t="inlineStr">
        <is>
          <t>1. Total budget amount should not exceed INR 1 Lakh.</t>
        </is>
      </c>
    </row>
    <row r="20">
      <c r="A20" s="13" t="inlineStr">
        <is>
          <t>2. Personal remuneration/honorarium to team members is strictly prohibited at this stage.</t>
        </is>
      </c>
    </row>
    <row r="21">
      <c r="A21" s="13" t="inlineStr">
        <is>
          <t xml:space="preserve">3. No meeting expenses shall be considered. </t>
        </is>
      </c>
    </row>
    <row r="22">
      <c r="A22" s="13" t="inlineStr">
        <is>
          <t>4. Only expenses which are related to your work during stage 2 is permissible.</t>
        </is>
      </c>
    </row>
    <row r="23"/>
    <row r="24">
      <c r="A24" s="10" t="inlineStr">
        <is>
          <t>Financial Declaration</t>
        </is>
      </c>
    </row>
    <row r="25">
      <c r="A25" s="12" t="n"/>
    </row>
    <row r="26">
      <c r="A26" s="13" t="inlineStr">
        <is>
          <t>We hereby certify that:</t>
        </is>
      </c>
      <c r="B26" s="13" t="n"/>
    </row>
    <row r="27">
      <c r="A27" s="13" t="n"/>
      <c r="B27" s="13" t="n"/>
    </row>
    <row r="28">
      <c r="A28" s="13" t="b">
        <v>1</v>
      </c>
      <c r="B28" s="13" t="inlineStr">
        <is>
          <t>1. The information provided in this financial proposal is true and accurate to the best of our knowledge.</t>
        </is>
      </c>
    </row>
    <row r="29">
      <c r="A29" s="13" t="b">
        <v>1</v>
      </c>
      <c r="B29" s="13" t="inlineStr">
        <is>
          <t>2. The proposed expenditure is directly related to the Stage 2 technical development of the project.</t>
        </is>
      </c>
    </row>
    <row r="30">
      <c r="A30" s="13" t="b">
        <v>1</v>
      </c>
      <c r="B30" s="13" t="inlineStr">
        <is>
          <t>3. The requested financial support will be used only for approved development activities.</t>
        </is>
      </c>
    </row>
    <row r="31">
      <c r="A31" s="13" t="b">
        <v>1</v>
      </c>
      <c r="B31" s="13" t="inlineStr">
        <is>
          <t>4. No expenditure will be incurred outside the approved scope without prior approval, wherever such approval is required.</t>
        </is>
      </c>
    </row>
    <row r="32">
      <c r="A32" s="13" t="b">
        <v>1</v>
      </c>
      <c r="B32" s="13" t="inlineStr">
        <is>
          <t>5. The team will maintain appropriate records, invoices/bills, payment proof and other supporting documents for expenditure made from the development support.</t>
        </is>
      </c>
    </row>
    <row r="33">
      <c r="A33" s="13" t="b">
        <v>1</v>
      </c>
      <c r="B33" s="13" t="inlineStr">
        <is>
          <t>6. The team agrees to provide expenditure statements and supporting documents when requested by the organisers.</t>
        </is>
      </c>
    </row>
    <row r="34">
      <c r="A34" s="13" t="b">
        <v>1</v>
      </c>
      <c r="B34" s="13" t="inlineStr">
        <is>
          <t>7. The team understands that financial support is intended for technical development and does not constitute unrestricted prize money.</t>
        </is>
      </c>
    </row>
    <row r="35">
      <c r="A35" s="13" t="b">
        <v>1</v>
      </c>
      <c r="B35" s="13" t="inlineStr">
        <is>
          <t>8. The team will comply with all applicable competition and funding guidelines.</t>
        </is>
      </c>
    </row>
    <row r="36">
      <c r="B36" s="13" t="n"/>
    </row>
    <row r="37">
      <c r="A37" s="14" t="inlineStr">
        <is>
          <t>Date:</t>
        </is>
      </c>
      <c r="B37" s="21" t="inlineStr">
        <is>
          <t>18 October 2026</t>
        </is>
      </c>
    </row>
    <row r="38">
      <c r="A38" s="13" t="n"/>
      <c r="B38" s="13" t="n"/>
    </row>
    <row r="39">
      <c r="A39" s="13" t="n"/>
      <c r="B39" s="13" t="n"/>
    </row>
    <row r="40">
      <c r="A40" s="13" t="n"/>
      <c r="B40" s="13" t="n"/>
    </row>
    <row r="41">
      <c r="A41" s="13" t="n"/>
      <c r="B41" s="13" t="n"/>
    </row>
    <row r="42">
      <c r="A42" s="13" t="n"/>
      <c r="B42" s="13" t="n"/>
    </row>
    <row r="43">
      <c r="A43" s="13" t="n"/>
      <c r="B43" s="13" t="n"/>
    </row>
  </sheetData>
  <dataValidations count="2">
    <dataValidation sqref="B6:B12" showDropDown="0" showInputMessage="0" showErrorMessage="1" allowBlank="1" type="list">
      <formula1>"Components / Electronics,Mechanical / Structural / Fabrication,Software / Computing / Computer-Aided Engineering (CAE) / Subscription,Testing / Validation,Other Direct Technical Expenses"</formula1>
    </dataValidation>
    <dataValidation sqref="B6:B14" showDropDown="0" showInputMessage="0" showErrorMessage="0" allowBlank="1" type="list">
      <formula1>"Components / Electronics,Mechanical / Structural / Fabrication,Software / Computing / Computer-Aided Engineering (CAE) / Subscription,Testing / Validation,Other Direct Technical Expenses"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2026-10-13T13:29:21Z</dcterms:created>
  <dcterms:modified xmlns:dcterms="http://purl.org/dc/terms/" xmlns:xsi="http://www.w3.org/2001/XMLSchema-instance" xsi:type="dcterms:W3CDTF">2026-10-13T13:29:21Z</dcterms:modified>
</cp:coreProperties>
</file>